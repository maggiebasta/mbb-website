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4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<sst xmlns="http://schemas.openxmlformats.org/spreadsheetml/2006/main" count="34" uniqueCount="34">
  <si>
    <t>Company</t>
  </si>
  <si>
    <t>Year founded</t>
  </si>
  <si>
    <t>IPO Date</t>
  </si>
  <si>
    <t>Average rev multiple at exit</t>
  </si>
  <si>
    <t>Months to 100</t>
  </si>
  <si>
    <t>Exit value (B)</t>
  </si>
  <si>
    <t>Exit value normalized (B)</t>
  </si>
  <si>
    <t>Exit value 6/1/21(B)</t>
  </si>
  <si>
    <t>Exit value at max (B)</t>
  </si>
  <si>
    <t>Splunk</t>
  </si>
  <si>
    <t>ServiceNow</t>
  </si>
  <si>
    <t>Docusign</t>
  </si>
  <si>
    <t>Shopify</t>
  </si>
  <si>
    <t>UiPath</t>
  </si>
  <si>
    <t>Box</t>
  </si>
  <si>
    <t>Bill</t>
  </si>
  <si>
    <t>Hubspot</t>
  </si>
  <si>
    <t>Mongo</t>
  </si>
  <si>
    <t>Twilio</t>
  </si>
  <si>
    <t>Cloudera</t>
  </si>
  <si>
    <t>Slack</t>
  </si>
  <si>
    <t>Datadog</t>
  </si>
  <si>
    <t>Gitlab</t>
  </si>
  <si>
    <t>Elastic</t>
  </si>
  <si>
    <t>Snowflake</t>
  </si>
  <si>
    <t>HashiCorp</t>
  </si>
  <si>
    <t>Confluent</t>
  </si>
  <si>
    <t>Rubrik</t>
  </si>
  <si>
    <t>Deel</t>
  </si>
  <si>
    <t>Wiz</t>
  </si>
  <si>
    <t>Ramp</t>
  </si>
  <si>
    <t xml:space="preserve">Canva </t>
  </si>
  <si>
    <t>Coreweave</t>
  </si>
  <si>
    <t>Zoom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</si>
</sst>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0.0"/>
    <numFmt numFmtId="165" formatCode="m/d/yyyy"/>
  </numFmts>
  <fonts count="6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color rgb="FF000000"/>
      <name val="Arial"/>
      <scheme val="minor"/>
    </font>
    <font>
      <color rgb="FFFF0000"/>
      <name val="Arial"/>
      <scheme val="minor"/>
    </font>
    <font>
      <i/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B6D7A8"/>
        <bgColor rgb="FFB6D7A8"/>
      </patternFill>
    </fill>
  </fills>
  <borders count="1">
    <border/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 shrinkToFit="0" wrapText="1"/>
    </xf>
    <xf borderId="0" fillId="2" fontId="1" numFmtId="164" xfId="0" applyAlignment="1" applyFont="1" applyNumberFormat="1">
      <alignment readingOrder="0" shrinkToFit="0" wrapText="1"/>
    </xf>
    <xf borderId="0" fillId="0" fontId="2" numFmtId="0" xfId="0" applyAlignment="1" applyFont="1">
      <alignment shrinkToFit="0" wrapText="0"/>
    </xf>
    <xf borderId="0" fillId="0" fontId="2" numFmtId="0" xfId="0" applyAlignment="1" applyFont="1">
      <alignment readingOrder="0"/>
    </xf>
    <xf borderId="0" fillId="0" fontId="2" numFmtId="165" xfId="0" applyAlignment="1" applyFont="1" applyNumberFormat="1">
      <alignment readingOrder="0"/>
    </xf>
    <xf borderId="0" fillId="0" fontId="2" numFmtId="164" xfId="0" applyAlignment="1" applyFont="1" applyNumberFormat="1">
      <alignment readingOrder="0"/>
    </xf>
    <xf borderId="0" fillId="0" fontId="2" numFmtId="0" xfId="0" applyFont="1"/>
    <xf borderId="0" fillId="0" fontId="3" numFmtId="0" xfId="0" applyAlignment="1" applyFont="1">
      <alignment readingOrder="0"/>
    </xf>
    <xf borderId="0" fillId="0" fontId="3" numFmtId="165" xfId="0" applyAlignment="1" applyFont="1" applyNumberFormat="1">
      <alignment readingOrder="0"/>
    </xf>
    <xf borderId="0" fillId="0" fontId="3" numFmtId="164" xfId="0" applyAlignment="1" applyFont="1" applyNumberFormat="1">
      <alignment readingOrder="0"/>
    </xf>
    <xf borderId="0" fillId="0" fontId="4" numFmtId="0" xfId="0" applyAlignment="1" applyFont="1">
      <alignment readingOrder="0"/>
    </xf>
    <xf borderId="0" fillId="0" fontId="5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Estimated exit value (B) vs. Months 1 to 100</a:t>
            </a:r>
          </a:p>
        </c:rich>
      </c:tx>
      <c:overlay val="0"/>
    </c:title>
    <c:plotArea>
      <c:layout/>
      <c:scatterChart>
        <c:scatterStyle val="lineMarker"/>
        <c:varyColors val="0"/>
        <c:ser>
          <c:idx val="0"/>
          <c:order val="0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trendline>
            <c:name/>
            <c:spPr>
              <a:ln w="19050">
                <a:solidFill>
                  <a:srgbClr val="000000"/>
                </a:solidFill>
              </a:ln>
            </c:spPr>
            <c:trendlineType val="linear"/>
            <c:dispRSqr val="0"/>
            <c:dispEq val="0"/>
          </c:trendline>
          <c:xVal>
            <c:numRef>
              <c:f>Sheet1!$E$2:$E$25</c:f>
            </c:numRef>
          </c:xVal>
          <c:yVal>
            <c:numRef>
              <c:f>Sheet1!$F$2:$F$25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16846596"/>
        <c:axId val="682779800"/>
      </c:scatterChart>
      <c:valAx>
        <c:axId val="916846596"/>
        <c:scaling>
          <c:orientation val="minMax"/>
          <c:max val="114.0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Months to 100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682779800"/>
        <c:majorUnit val="24.0"/>
      </c:valAx>
      <c:valAx>
        <c:axId val="68277980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Exit value (B)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916846596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EV at max (B) vs. Months 1 to 100</a:t>
            </a:r>
          </a:p>
        </c:rich>
      </c:tx>
      <c:overlay val="0"/>
    </c:title>
    <c:plotArea>
      <c:layout/>
      <c:scatterChart>
        <c:scatterStyle val="lineMarker"/>
        <c:varyColors val="0"/>
        <c:ser>
          <c:idx val="0"/>
          <c:order val="0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dPt>
            <c:idx val="1"/>
            <c:marker>
              <c:symbol val="none"/>
            </c:marker>
          </c:dPt>
          <c:trendline>
            <c:name/>
            <c:spPr>
              <a:ln w="19050">
                <a:solidFill>
                  <a:srgbClr val="000000"/>
                </a:solidFill>
              </a:ln>
            </c:spPr>
            <c:trendlineType val="linear"/>
            <c:dispRSqr val="0"/>
            <c:dispEq val="0"/>
          </c:trendline>
          <c:xVal>
            <c:numRef>
              <c:f>Sheet1!$E$2:$E$25</c:f>
            </c:numRef>
          </c:xVal>
          <c:yVal>
            <c:numRef>
              <c:f>Sheet1!$I$2:$I$25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26411916"/>
        <c:axId val="1469235398"/>
      </c:scatterChart>
      <c:valAx>
        <c:axId val="826411916"/>
        <c:scaling>
          <c:orientation val="minMax"/>
          <c:max val="114.0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Months to 100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469235398"/>
        <c:majorUnit val="24.0"/>
      </c:valAx>
      <c:valAx>
        <c:axId val="146923539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Exit value (B)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826411916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Estimated exit value (B) vs. Months 1 to 100
(Companies founded 2006-2009)</a:t>
            </a:r>
          </a:p>
        </c:rich>
      </c:tx>
      <c:overlay val="0"/>
    </c:title>
    <c:plotArea>
      <c:layout/>
      <c:scatterChart>
        <c:scatterStyle val="lineMarker"/>
        <c:varyColors val="0"/>
        <c:ser>
          <c:idx val="0"/>
          <c:order val="0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trendline>
            <c:name/>
            <c:spPr>
              <a:ln w="19050">
                <a:solidFill>
                  <a:srgbClr val="000000"/>
                </a:solidFill>
              </a:ln>
            </c:spPr>
            <c:trendlineType val="linear"/>
            <c:dispRSqr val="0"/>
            <c:dispEq val="0"/>
          </c:trendline>
          <c:xVal>
            <c:numRef>
              <c:f>Sheet1!$E$8:$E$13</c:f>
            </c:numRef>
          </c:xVal>
          <c:yVal>
            <c:numRef>
              <c:f>Sheet1!$F$8:$F$13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83894677"/>
        <c:axId val="853562815"/>
      </c:scatterChart>
      <c:valAx>
        <c:axId val="583894677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853562815"/>
      </c:valAx>
      <c:valAx>
        <c:axId val="85356281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583894677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Estimated exit value (B) vs. Months 1 to 100
(Companies founded 2011-2014)</a:t>
            </a:r>
          </a:p>
        </c:rich>
      </c:tx>
      <c:overlay val="0"/>
    </c:title>
    <c:plotArea>
      <c:layout/>
      <c:scatterChart>
        <c:scatterStyle val="lineMarker"/>
        <c:varyColors val="0"/>
        <c:ser>
          <c:idx val="0"/>
          <c:order val="0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trendline>
            <c:name/>
            <c:spPr>
              <a:ln w="19050">
                <a:solidFill>
                  <a:srgbClr val="000000"/>
                </a:solidFill>
              </a:ln>
            </c:spPr>
            <c:trendlineType val="linear"/>
            <c:dispRSqr val="0"/>
            <c:dispEq val="0"/>
          </c:trendline>
          <c:xVal>
            <c:numRef>
              <c:f>Sheet1!$E$14:$E$25</c:f>
            </c:numRef>
          </c:xVal>
          <c:yVal>
            <c:numRef>
              <c:f>Sheet1!$F$14:$F$25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38904142"/>
        <c:axId val="999236020"/>
      </c:scatterChart>
      <c:valAx>
        <c:axId val="238904142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999236020"/>
      </c:valAx>
      <c:valAx>
        <c:axId val="99923602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38904142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304800</xdr:colOff>
      <xdr:row>1</xdr:row>
      <xdr:rowOff>114300</xdr:rowOff>
    </xdr:from>
    <xdr:ext cx="6572250" cy="35337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16</xdr:col>
      <xdr:colOff>457200</xdr:colOff>
      <xdr:row>1</xdr:row>
      <xdr:rowOff>114300</xdr:rowOff>
    </xdr:from>
    <xdr:ext cx="5715000" cy="353377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9</xdr:col>
      <xdr:colOff>304800</xdr:colOff>
      <xdr:row>27</xdr:row>
      <xdr:rowOff>76200</xdr:rowOff>
    </xdr:from>
    <xdr:ext cx="5715000" cy="3533775"/>
    <xdr:graphicFrame>
      <xdr:nvGraphicFramePr>
        <xdr:cNvPr id="3" name="Chart 3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15</xdr:col>
      <xdr:colOff>733425</xdr:colOff>
      <xdr:row>27</xdr:row>
      <xdr:rowOff>76200</xdr:rowOff>
    </xdr:from>
    <xdr:ext cx="5715000" cy="3533775"/>
    <xdr:graphicFrame>
      <xdr:nvGraphicFramePr>
        <xdr:cNvPr id="4" name="Chart 4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9" max="9" width="12.8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1" t="s">
        <v>7</v>
      </c>
      <c r="I1" s="1" t="s">
        <v>8</v>
      </c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</row>
    <row r="2">
      <c r="A2" s="4" t="s">
        <v>9</v>
      </c>
      <c r="B2" s="4">
        <v>2003.0</v>
      </c>
      <c r="C2" s="5">
        <v>41018.0</v>
      </c>
      <c r="D2" s="4">
        <v>6.6</v>
      </c>
      <c r="E2" s="4">
        <v>74.0</v>
      </c>
      <c r="F2" s="4">
        <v>6.9</v>
      </c>
      <c r="G2" s="6">
        <f t="shared" ref="G2:G20" si="1">F2/D2</f>
        <v>1.045454545</v>
      </c>
      <c r="H2" s="6">
        <v>21.0</v>
      </c>
      <c r="I2" s="4">
        <v>36.1</v>
      </c>
    </row>
    <row r="3">
      <c r="A3" s="4" t="s">
        <v>10</v>
      </c>
      <c r="B3" s="4">
        <v>2003.0</v>
      </c>
      <c r="C3" s="5">
        <v>41089.0</v>
      </c>
      <c r="D3" s="4">
        <v>6.6</v>
      </c>
      <c r="E3" s="4">
        <v>72.0</v>
      </c>
      <c r="F3" s="4">
        <v>8.7</v>
      </c>
      <c r="G3" s="6">
        <f t="shared" si="1"/>
        <v>1.318181818</v>
      </c>
      <c r="H3" s="4">
        <v>91.3</v>
      </c>
      <c r="I3" s="4">
        <v>235.0</v>
      </c>
    </row>
    <row r="4">
      <c r="A4" s="4" t="s">
        <v>11</v>
      </c>
      <c r="B4" s="4">
        <v>2003.0</v>
      </c>
      <c r="C4" s="5">
        <v>43217.0</v>
      </c>
      <c r="D4" s="4">
        <v>19.8</v>
      </c>
      <c r="E4" s="7">
        <f>9*12</f>
        <v>108</v>
      </c>
      <c r="F4" s="4">
        <v>19.82</v>
      </c>
      <c r="G4" s="6">
        <f t="shared" si="1"/>
        <v>1.001010101</v>
      </c>
      <c r="H4" s="4">
        <v>39.2</v>
      </c>
      <c r="I4" s="4">
        <v>61.1</v>
      </c>
    </row>
    <row r="5">
      <c r="A5" s="4" t="s">
        <v>12</v>
      </c>
      <c r="B5" s="4">
        <v>2004.0</v>
      </c>
      <c r="C5" s="5">
        <v>42145.0</v>
      </c>
      <c r="D5" s="4">
        <v>8.0</v>
      </c>
      <c r="E5" s="4">
        <v>86.0</v>
      </c>
      <c r="F5" s="4">
        <v>9.17</v>
      </c>
      <c r="G5" s="6">
        <f t="shared" si="1"/>
        <v>1.14625</v>
      </c>
      <c r="H5" s="4">
        <v>146.2</v>
      </c>
      <c r="I5" s="4">
        <v>205.9</v>
      </c>
    </row>
    <row r="6">
      <c r="A6" s="8" t="s">
        <v>13</v>
      </c>
      <c r="B6" s="8">
        <v>2005.0</v>
      </c>
      <c r="C6" s="9">
        <v>44307.0</v>
      </c>
      <c r="D6" s="8">
        <v>7.2</v>
      </c>
      <c r="E6" s="8">
        <v>24.0</v>
      </c>
      <c r="F6" s="8">
        <v>6.7</v>
      </c>
      <c r="G6" s="10">
        <f t="shared" si="1"/>
        <v>0.9305555556</v>
      </c>
      <c r="H6" s="8">
        <v>43.0</v>
      </c>
      <c r="I6" s="8">
        <v>45.3</v>
      </c>
    </row>
    <row r="7">
      <c r="A7" s="4" t="s">
        <v>14</v>
      </c>
      <c r="B7" s="4">
        <v>2005.0</v>
      </c>
      <c r="C7" s="5">
        <v>42027.0</v>
      </c>
      <c r="D7" s="4">
        <v>7.7</v>
      </c>
      <c r="E7" s="4">
        <v>88.0</v>
      </c>
      <c r="F7" s="4">
        <v>2.11</v>
      </c>
      <c r="G7" s="6">
        <f t="shared" si="1"/>
        <v>0.274025974</v>
      </c>
      <c r="H7" s="6">
        <v>4.0</v>
      </c>
      <c r="I7" s="4">
        <v>5.9</v>
      </c>
    </row>
    <row r="8">
      <c r="A8" s="4" t="s">
        <v>15</v>
      </c>
      <c r="B8" s="4">
        <v>2006.0</v>
      </c>
      <c r="C8" s="5">
        <v>43810.0</v>
      </c>
      <c r="D8" s="4">
        <v>15.9</v>
      </c>
      <c r="E8" s="4">
        <v>105.0</v>
      </c>
      <c r="F8" s="4">
        <v>25.2</v>
      </c>
      <c r="G8" s="6">
        <f t="shared" si="1"/>
        <v>1.58490566</v>
      </c>
      <c r="H8" s="4">
        <v>11.8</v>
      </c>
      <c r="I8" s="4">
        <v>34.1</v>
      </c>
    </row>
    <row r="9">
      <c r="A9" s="4" t="s">
        <v>16</v>
      </c>
      <c r="B9" s="4">
        <v>2006.0</v>
      </c>
      <c r="C9" s="5">
        <v>41921.0</v>
      </c>
      <c r="D9" s="4">
        <v>7.6</v>
      </c>
      <c r="E9" s="4">
        <v>80.0</v>
      </c>
      <c r="F9" s="4">
        <v>1.94</v>
      </c>
      <c r="G9" s="6">
        <f t="shared" si="1"/>
        <v>0.2552631579</v>
      </c>
      <c r="H9" s="4">
        <v>22.6</v>
      </c>
      <c r="I9" s="4">
        <v>41.43</v>
      </c>
    </row>
    <row r="10">
      <c r="A10" s="4" t="s">
        <v>17</v>
      </c>
      <c r="B10" s="4">
        <v>2007.0</v>
      </c>
      <c r="C10" s="5">
        <v>43027.0</v>
      </c>
      <c r="D10" s="4">
        <v>14.2</v>
      </c>
      <c r="E10" s="4">
        <v>90.0</v>
      </c>
      <c r="F10" s="4">
        <v>6.6</v>
      </c>
      <c r="G10" s="6">
        <f t="shared" si="1"/>
        <v>0.4647887324</v>
      </c>
      <c r="H10" s="4">
        <v>18.1</v>
      </c>
      <c r="I10" s="4">
        <v>38.1</v>
      </c>
    </row>
    <row r="11">
      <c r="A11" s="4" t="s">
        <v>18</v>
      </c>
      <c r="B11" s="4">
        <v>2008.0</v>
      </c>
      <c r="C11" s="5">
        <v>42544.0</v>
      </c>
      <c r="D11" s="4">
        <v>10.8</v>
      </c>
      <c r="E11" s="4">
        <v>62.0</v>
      </c>
      <c r="F11" s="4">
        <v>5.6</v>
      </c>
      <c r="G11" s="6">
        <f t="shared" si="1"/>
        <v>0.5185185185</v>
      </c>
      <c r="H11" s="4">
        <v>52.9</v>
      </c>
      <c r="I11" s="4">
        <v>68.5</v>
      </c>
    </row>
    <row r="12">
      <c r="A12" s="4" t="s">
        <v>19</v>
      </c>
      <c r="B12" s="4">
        <v>2008.0</v>
      </c>
      <c r="C12" s="5">
        <v>42853.0</v>
      </c>
      <c r="D12" s="4">
        <v>11.7</v>
      </c>
      <c r="E12" s="4">
        <v>66.0</v>
      </c>
      <c r="F12" s="4">
        <v>2.5</v>
      </c>
      <c r="G12" s="6">
        <f t="shared" si="1"/>
        <v>0.2136752137</v>
      </c>
      <c r="H12" s="4">
        <v>4.4</v>
      </c>
      <c r="I12" s="4">
        <v>5.1</v>
      </c>
    </row>
    <row r="13">
      <c r="A13" s="4" t="s">
        <v>20</v>
      </c>
      <c r="B13" s="4">
        <v>2009.0</v>
      </c>
      <c r="C13" s="5">
        <v>43636.0</v>
      </c>
      <c r="D13" s="4">
        <v>19.5</v>
      </c>
      <c r="E13" s="4">
        <v>36.0</v>
      </c>
      <c r="F13" s="6">
        <v>25.2</v>
      </c>
      <c r="G13" s="6">
        <f t="shared" si="1"/>
        <v>1.292307692</v>
      </c>
      <c r="H13" s="4">
        <v>24.9</v>
      </c>
      <c r="I13" s="4">
        <v>32.0</v>
      </c>
    </row>
    <row r="14">
      <c r="A14" s="4" t="s">
        <v>21</v>
      </c>
      <c r="B14" s="4">
        <v>2011.0</v>
      </c>
      <c r="C14" s="5">
        <v>43727.0</v>
      </c>
      <c r="D14" s="4">
        <v>19.6</v>
      </c>
      <c r="E14" s="4">
        <v>66.0</v>
      </c>
      <c r="F14" s="4">
        <v>43.5</v>
      </c>
      <c r="G14" s="6">
        <f t="shared" si="1"/>
        <v>2.219387755</v>
      </c>
      <c r="H14" s="4">
        <v>27.6</v>
      </c>
      <c r="I14" s="4">
        <v>60.7</v>
      </c>
    </row>
    <row r="15">
      <c r="A15" s="4" t="s">
        <v>22</v>
      </c>
      <c r="B15" s="4">
        <v>2011.0</v>
      </c>
      <c r="C15" s="5">
        <v>44483.0</v>
      </c>
      <c r="D15" s="4">
        <v>7.3</v>
      </c>
      <c r="E15" s="4">
        <v>42.0</v>
      </c>
      <c r="F15" s="4">
        <v>6.1</v>
      </c>
      <c r="G15" s="6">
        <f t="shared" si="1"/>
        <v>0.8356164384</v>
      </c>
      <c r="H15" s="11">
        <v>15.0</v>
      </c>
      <c r="I15" s="4">
        <v>18.9</v>
      </c>
    </row>
    <row r="16">
      <c r="A16" s="4" t="s">
        <v>23</v>
      </c>
      <c r="B16" s="4">
        <v>2012.0</v>
      </c>
      <c r="C16" s="5">
        <v>43378.0</v>
      </c>
      <c r="D16" s="4">
        <v>24.0</v>
      </c>
      <c r="E16" s="4">
        <v>42.0</v>
      </c>
      <c r="F16" s="4">
        <v>9.7</v>
      </c>
      <c r="G16" s="6">
        <f t="shared" si="1"/>
        <v>0.4041666667</v>
      </c>
      <c r="H16" s="4">
        <v>10.3</v>
      </c>
      <c r="I16" s="4">
        <v>16.8</v>
      </c>
    </row>
    <row r="17">
      <c r="A17" s="4" t="s">
        <v>24</v>
      </c>
      <c r="B17" s="4">
        <v>2012.0</v>
      </c>
      <c r="C17" s="5">
        <v>44090.0</v>
      </c>
      <c r="D17" s="4">
        <v>6.9</v>
      </c>
      <c r="E17" s="4">
        <v>52.0</v>
      </c>
      <c r="F17" s="4">
        <v>54.3</v>
      </c>
      <c r="G17" s="6">
        <f t="shared" si="1"/>
        <v>7.869565217</v>
      </c>
      <c r="H17" s="4">
        <v>66.4</v>
      </c>
      <c r="I17" s="4">
        <v>116.0</v>
      </c>
    </row>
    <row r="18">
      <c r="A18" s="4" t="s">
        <v>25</v>
      </c>
      <c r="B18" s="4">
        <v>2012.0</v>
      </c>
      <c r="C18" s="5">
        <v>44539.0</v>
      </c>
      <c r="D18" s="4">
        <v>6.5</v>
      </c>
      <c r="E18" s="4">
        <v>50.0</v>
      </c>
      <c r="F18" s="4">
        <v>2.83</v>
      </c>
      <c r="G18" s="6">
        <f t="shared" si="1"/>
        <v>0.4353846154</v>
      </c>
      <c r="H18" s="11">
        <v>15.4</v>
      </c>
      <c r="I18" s="4">
        <v>17.6</v>
      </c>
    </row>
    <row r="19">
      <c r="A19" s="4" t="s">
        <v>26</v>
      </c>
      <c r="B19" s="4">
        <v>2014.0</v>
      </c>
      <c r="C19" s="5">
        <v>44371.0</v>
      </c>
      <c r="D19" s="4">
        <v>7.2</v>
      </c>
      <c r="E19" s="4">
        <v>32.0</v>
      </c>
      <c r="F19" s="4">
        <v>9.1</v>
      </c>
      <c r="G19" s="6">
        <f t="shared" si="1"/>
        <v>1.263888889</v>
      </c>
      <c r="H19" s="11">
        <v>11.7</v>
      </c>
      <c r="I19" s="4">
        <v>23.8</v>
      </c>
    </row>
    <row r="20">
      <c r="A20" s="4" t="s">
        <v>27</v>
      </c>
      <c r="B20" s="4">
        <v>2014.0</v>
      </c>
      <c r="C20" s="5">
        <v>45407.0</v>
      </c>
      <c r="D20" s="4">
        <v>6.0</v>
      </c>
      <c r="E20" s="4">
        <v>18.0</v>
      </c>
      <c r="F20" s="4">
        <v>18.1</v>
      </c>
      <c r="G20" s="6">
        <f t="shared" si="1"/>
        <v>3.016666667</v>
      </c>
      <c r="I20" s="4">
        <v>18.1</v>
      </c>
    </row>
    <row r="21">
      <c r="A21" s="4" t="s">
        <v>28</v>
      </c>
      <c r="B21" s="4">
        <v>2019.0</v>
      </c>
      <c r="E21" s="4">
        <v>20.0</v>
      </c>
      <c r="F21" s="4">
        <v>12.0</v>
      </c>
      <c r="G21" s="4"/>
      <c r="H21" s="4">
        <v>12.0</v>
      </c>
      <c r="I21" s="4">
        <v>12.0</v>
      </c>
    </row>
    <row r="22">
      <c r="A22" s="4" t="s">
        <v>29</v>
      </c>
      <c r="B22" s="4">
        <v>2020.0</v>
      </c>
      <c r="E22" s="4">
        <v>18.0</v>
      </c>
      <c r="F22" s="4">
        <v>32.0</v>
      </c>
      <c r="G22" s="4"/>
      <c r="H22" s="4">
        <v>32.0</v>
      </c>
      <c r="I22" s="4">
        <v>32.0</v>
      </c>
    </row>
    <row r="23">
      <c r="A23" s="4" t="s">
        <v>30</v>
      </c>
      <c r="B23" s="4">
        <v>2019.0</v>
      </c>
      <c r="E23" s="4">
        <v>24.0</v>
      </c>
      <c r="F23" s="4">
        <v>13.0</v>
      </c>
      <c r="G23" s="4"/>
      <c r="H23" s="4">
        <v>13.0</v>
      </c>
      <c r="I23" s="4">
        <v>13.0</v>
      </c>
    </row>
    <row r="25">
      <c r="A25" s="4" t="s">
        <v>31</v>
      </c>
      <c r="E25" s="4">
        <v>96.0</v>
      </c>
      <c r="F25" s="4">
        <v>26.0</v>
      </c>
      <c r="I25" s="4">
        <v>26.0</v>
      </c>
    </row>
    <row r="27">
      <c r="A27" s="4" t="s">
        <v>32</v>
      </c>
      <c r="E27" s="4">
        <v>60.0</v>
      </c>
      <c r="F27" s="4">
        <v>85.0</v>
      </c>
    </row>
    <row r="28">
      <c r="A28" s="4" t="s">
        <v>33</v>
      </c>
      <c r="B28" s="4">
        <v>2011.0</v>
      </c>
      <c r="C28" s="5">
        <v>43573.0</v>
      </c>
      <c r="D28" s="4">
        <v>19.5</v>
      </c>
      <c r="E28" s="4">
        <v>50.0</v>
      </c>
      <c r="F28" s="4">
        <v>91.1</v>
      </c>
      <c r="G28" s="6">
        <f>F28/D28</f>
        <v>4.671794872</v>
      </c>
      <c r="H28" s="4">
        <v>91.9</v>
      </c>
      <c r="I28" s="4">
        <v>160.0</v>
      </c>
    </row>
    <row r="51">
      <c r="M51" s="12"/>
    </row>
  </sheetData>
  <drawing r:id="rId1"/>
</worksheet>
</file>